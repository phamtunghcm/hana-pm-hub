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etup Spa" sheetId="2" r:id="rId6"/>
    <sheet state="visible" name="Setup Lễ tân" sheetId="3" r:id="rId7"/>
  </sheets>
  <definedNames>
    <definedName hidden="1" localSheetId="1" name="_xlnm._FilterDatabase">'Setup Spa'!$C$7:$K$35</definedName>
    <definedName hidden="1" localSheetId="2" name="_xlnm._FilterDatabase">'Setup Lễ tân'!$B$7:$H$39</definedName>
  </definedNames>
  <calcPr/>
</workbook>
</file>

<file path=xl/sharedStrings.xml><?xml version="1.0" encoding="utf-8"?>
<sst xmlns="http://schemas.openxmlformats.org/spreadsheetml/2006/main" count="512" uniqueCount="186">
  <si>
    <t>KTV</t>
  </si>
  <si>
    <t>Option 1</t>
  </si>
  <si>
    <t>Option 2</t>
  </si>
  <si>
    <t>Option 3</t>
  </si>
  <si>
    <t>Option 4</t>
  </si>
  <si>
    <t>LCB</t>
  </si>
  <si>
    <t>HH 1 (&lt;5 tour)</t>
  </si>
  <si>
    <t>Tổng chi phí mua 1 lần</t>
  </si>
  <si>
    <t>HH 2 (tour thứ 5 trở đi)</t>
  </si>
  <si>
    <t>Liệu trình</t>
  </si>
  <si>
    <t>Lương giả định ngày 4 tour, mỗi tour 500.000</t>
  </si>
  <si>
    <t>Tổng chi phí hàng tháng</t>
  </si>
  <si>
    <t>Chưa mua</t>
  </si>
  <si>
    <t>Đang đặt hàng</t>
  </si>
  <si>
    <t>Đã nhận</t>
  </si>
  <si>
    <t>Số giường</t>
  </si>
  <si>
    <t>Lương giả định ngày 6 tour, mỗi tour 500.000</t>
  </si>
  <si>
    <t xml:space="preserve">Khấu trừ chi phí đào tạo </t>
  </si>
  <si>
    <t>Nuôi cơm nước (phụ cấp 100.000đ/ngày)</t>
  </si>
  <si>
    <t>Giữ lại 10% trong 1 năm để đảm bảo ở lại làm việc</t>
  </si>
  <si>
    <t>Lễ Tân/ CSKH</t>
  </si>
  <si>
    <t>Giới thiệu khách (lần đầu)</t>
  </si>
  <si>
    <t>Khách hàng cũ quay lại</t>
  </si>
  <si>
    <t>Mã tài sản</t>
  </si>
  <si>
    <t>Khu vực</t>
  </si>
  <si>
    <t>Phân loại</t>
  </si>
  <si>
    <t>Tần suất</t>
  </si>
  <si>
    <t>Tên vật dụng</t>
  </si>
  <si>
    <t>Kích thước</t>
  </si>
  <si>
    <t>Tổng SL</t>
  </si>
  <si>
    <t>Đơn giá</t>
  </si>
  <si>
    <t>Thành tiền</t>
  </si>
  <si>
    <t>Nhà cung cấp</t>
  </si>
  <si>
    <t>Trạng thái</t>
  </si>
  <si>
    <t>LT001</t>
  </si>
  <si>
    <t>Mặt tiền</t>
  </si>
  <si>
    <t>Dùng chung</t>
  </si>
  <si>
    <t>Mua 1 lần</t>
  </si>
  <si>
    <t>Bảng hiệu</t>
  </si>
  <si>
    <t>3x1m</t>
  </si>
  <si>
    <t>SL/giường</t>
  </si>
  <si>
    <t>Đơn vị</t>
  </si>
  <si>
    <t>LT002</t>
  </si>
  <si>
    <t>Băng rôn thông báo khai trương</t>
  </si>
  <si>
    <t>2x0.5m</t>
  </si>
  <si>
    <t>Phòng trị liệu chung</t>
  </si>
  <si>
    <t>Theo giường</t>
  </si>
  <si>
    <t>Giường trị liệu (2 giường 7, 3 giường 8 tấc) + ghế xoay</t>
  </si>
  <si>
    <t>LT003</t>
  </si>
  <si>
    <t>Cái</t>
  </si>
  <si>
    <t>Poster + TỜ RƠI + VOUCHER</t>
  </si>
  <si>
    <t>0.6x1.6m</t>
  </si>
  <si>
    <t>LT006</t>
  </si>
  <si>
    <t>Cửa ra vào</t>
  </si>
  <si>
    <t>Tủ giày</t>
  </si>
  <si>
    <t>1.2x0.4x1m</t>
  </si>
  <si>
    <t>Khu vực thay đồ</t>
  </si>
  <si>
    <t>Áo quây+quần (khách nữ)</t>
  </si>
  <si>
    <t>LT008</t>
  </si>
  <si>
    <t>Toàn sảnh</t>
  </si>
  <si>
    <t>Loa âm trần + camera + wifi</t>
  </si>
  <si>
    <t>Tiêu chuẩn</t>
  </si>
  <si>
    <t>LT017</t>
  </si>
  <si>
    <t>khăn trải mặt có lổ</t>
  </si>
  <si>
    <t>Sảnh chính</t>
  </si>
  <si>
    <t>Máy lọc không khí</t>
  </si>
  <si>
    <t>0.3x0.3x0.6m</t>
  </si>
  <si>
    <t>LT020</t>
  </si>
  <si>
    <t>khăn lớn dùng phủ hoặc đắp</t>
  </si>
  <si>
    <t>Bàn thờ ông Địa, Thần tài (combo: bài vị, ban thờ, đèn, …)</t>
  </si>
  <si>
    <t>0.6x0.6x0.8m</t>
  </si>
  <si>
    <t>LT023</t>
  </si>
  <si>
    <t>Drap giường</t>
  </si>
  <si>
    <t>Máy chân</t>
  </si>
  <si>
    <t>LT004</t>
  </si>
  <si>
    <t>Quầy lễ tân</t>
  </si>
  <si>
    <t>khăn nhỏ</t>
  </si>
  <si>
    <t>Quầy tiếp tân</t>
  </si>
  <si>
    <t>2x0.8x1.1m</t>
  </si>
  <si>
    <t>LT007</t>
  </si>
  <si>
    <t>Giỏ đựng đồ cho khách</t>
  </si>
  <si>
    <t>Máy tính, máy in</t>
  </si>
  <si>
    <t>Laptop Việt Nhật</t>
  </si>
  <si>
    <t>LT015</t>
  </si>
  <si>
    <t>Quần (khách nam)</t>
  </si>
  <si>
    <t>Thường xuyên</t>
  </si>
  <si>
    <t>Bánh kẹo (gừng + me)</t>
  </si>
  <si>
    <t>Hộp</t>
  </si>
  <si>
    <t>Siêu thị</t>
  </si>
  <si>
    <t>LT019</t>
  </si>
  <si>
    <t>Khay đựng dầu, dụng cụ massage</t>
  </si>
  <si>
    <t>Bình hoa</t>
  </si>
  <si>
    <t>Cao 30cm</t>
  </si>
  <si>
    <t>LT005</t>
  </si>
  <si>
    <t>Khu vực chờ</t>
  </si>
  <si>
    <t>Khăn trùm vòm xông</t>
  </si>
  <si>
    <t>bàn ghế (sofa)</t>
  </si>
  <si>
    <t>2x1.5m</t>
  </si>
  <si>
    <t>LT016</t>
  </si>
  <si>
    <t>Khu vực tư vấn</t>
  </si>
  <si>
    <t>Băng đô quấn tóc</t>
  </si>
  <si>
    <t>Bàn tư vấn + ghế</t>
  </si>
  <si>
    <t>1.2x0.6m</t>
  </si>
  <si>
    <t>LT009</t>
  </si>
  <si>
    <t>Pantry</t>
  </si>
  <si>
    <t>Hộp đựng trang sức</t>
  </si>
  <si>
    <t xml:space="preserve">Ly uống nước </t>
  </si>
  <si>
    <t>300ml</t>
  </si>
  <si>
    <t>LT010</t>
  </si>
  <si>
    <t>kẹp tóc</t>
  </si>
  <si>
    <t>Bình uống nước</t>
  </si>
  <si>
    <t>1.5L</t>
  </si>
  <si>
    <t>LT011</t>
  </si>
  <si>
    <t>Chai có vòi đựng dầu massgae</t>
  </si>
  <si>
    <t>muổng</t>
  </si>
  <si>
    <t>Nhỏ</t>
  </si>
  <si>
    <t>Chai</t>
  </si>
  <si>
    <t>LT012</t>
  </si>
  <si>
    <t>Khay</t>
  </si>
  <si>
    <t>30x40cm</t>
  </si>
  <si>
    <t>Huyền trâm</t>
  </si>
  <si>
    <t>Shopee/Siêu thị</t>
  </si>
  <si>
    <t>LT013</t>
  </si>
  <si>
    <t>Đĩa nhỏ</t>
  </si>
  <si>
    <t>15cm</t>
  </si>
  <si>
    <t>Máy Bio Max</t>
  </si>
  <si>
    <t>Máy</t>
  </si>
  <si>
    <t>LT014</t>
  </si>
  <si>
    <t>DLC</t>
  </si>
  <si>
    <t>Máy nước nóng lạnh</t>
  </si>
  <si>
    <t>0.3x0.4x1m</t>
  </si>
  <si>
    <t>Vòm xông hơi</t>
  </si>
  <si>
    <t>LT018</t>
  </si>
  <si>
    <t>Tủ lạnh</t>
  </si>
  <si>
    <t>150L</t>
  </si>
  <si>
    <t>Máy DDS</t>
  </si>
  <si>
    <t>DMX</t>
  </si>
  <si>
    <t>LT021</t>
  </si>
  <si>
    <t>Khu vực giặt sấy</t>
  </si>
  <si>
    <t>Máy giặt</t>
  </si>
  <si>
    <t>Máy hấp (khoai, bắp)</t>
  </si>
  <si>
    <t>0.4x0.4x0.5m</t>
  </si>
  <si>
    <t>Máy sấy</t>
  </si>
  <si>
    <t>LT022</t>
  </si>
  <si>
    <t>Máy ion kiềm</t>
  </si>
  <si>
    <t>LT026</t>
  </si>
  <si>
    <t>Vệ sinh</t>
  </si>
  <si>
    <t>Bộ lau kính (nước + cây silicon)</t>
  </si>
  <si>
    <t>Xe đẩy spa (để máy BioMax)</t>
  </si>
  <si>
    <t>LT027</t>
  </si>
  <si>
    <t>Shopee</t>
  </si>
  <si>
    <t>Đồ hốt rác, cây quét nhà, cây lau nhà, cọ toilet</t>
  </si>
  <si>
    <t>Dép đi trong nhà</t>
  </si>
  <si>
    <t>Đôi</t>
  </si>
  <si>
    <t>LT024</t>
  </si>
  <si>
    <t>Nhân sự</t>
  </si>
  <si>
    <t>Đồng phục Nam</t>
  </si>
  <si>
    <t>M/L</t>
  </si>
  <si>
    <t>Kem dưỡng mặt</t>
  </si>
  <si>
    <t>Lọ</t>
  </si>
  <si>
    <t>LT025</t>
  </si>
  <si>
    <t>Đồng phục Nữ</t>
  </si>
  <si>
    <t>S/M</t>
  </si>
  <si>
    <t>Dầu massage</t>
  </si>
  <si>
    <t>Lít</t>
  </si>
  <si>
    <t>LT028</t>
  </si>
  <si>
    <t>Tinh dầu Acena - 0905321093</t>
  </si>
  <si>
    <t>Máy lạnh</t>
  </si>
  <si>
    <t>Vật tư &amp; Vệ sinh</t>
  </si>
  <si>
    <t>Găng tay</t>
  </si>
  <si>
    <t>Thùng rác không nắp</t>
  </si>
  <si>
    <t>Thùng</t>
  </si>
  <si>
    <t>Body lottion</t>
  </si>
  <si>
    <t>Giỏ đựng khăn bẩn</t>
  </si>
  <si>
    <t>Giỏ đựng khăn sạch</t>
  </si>
  <si>
    <t>Bình xịt cồn</t>
  </si>
  <si>
    <t>Khăn giấy khô (treo tường)</t>
  </si>
  <si>
    <t>Túi</t>
  </si>
  <si>
    <t>Khăn giấy khô (hộp)</t>
  </si>
  <si>
    <t>Khẩu trang y tế</t>
  </si>
  <si>
    <t>Túi rác</t>
  </si>
  <si>
    <t>Khăn giấy ướt</t>
  </si>
  <si>
    <t>Lược</t>
  </si>
  <si>
    <t>Rổ đựng đồ dơ (rổ mây có nắp)</t>
  </si>
  <si>
    <t>Rèm</t>
  </si>
  <si>
    <t>Bộ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</si>
</sst>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b/>
      <color rgb="FF6E7877"/>
      <name val="Arial"/>
      <scheme val="minor"/>
    </font>
    <font>
      <b/>
      <color theme="1"/>
      <name val="Arial"/>
      <scheme val="minor"/>
    </font>
    <font>
      <b/>
      <sz val="14.0"/>
      <color rgb="FF006A60"/>
      <name val="Arial"/>
      <scheme val="minor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6A60"/>
        <bgColor rgb="FF006A60"/>
      </patternFill>
    </fill>
    <fill>
      <patternFill patternType="solid">
        <fgColor rgb="FFFFFFFF"/>
        <bgColor rgb="FFFFFFFF"/>
      </patternFill>
    </fill>
    <fill>
      <patternFill patternType="solid">
        <fgColor rgb="FFF4FAF7"/>
        <bgColor rgb="FFF4FAF7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horizontal="right" readingOrder="0" shrinkToFit="0" vertical="bottom" wrapText="0"/>
    </xf>
    <xf borderId="0" fillId="0" fontId="1" numFmtId="9" xfId="0" applyAlignment="1" applyFont="1" applyNumberFormat="1">
      <alignment horizontal="center" readingOrder="0" shrinkToFit="0" wrapText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3" xfId="0" applyFont="1" applyNumberFormat="1"/>
    <xf borderId="0" fillId="0" fontId="5" numFmtId="3" xfId="0" applyFont="1" applyNumberFormat="1"/>
    <xf borderId="0" fillId="0" fontId="2" numFmtId="0" xfId="0" applyFont="1"/>
    <xf borderId="0" fillId="0" fontId="2" numFmtId="0" xfId="0" applyAlignment="1" applyFont="1">
      <alignment horizontal="center"/>
    </xf>
    <xf borderId="0" fillId="2" fontId="6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3" xfId="0" applyAlignment="1" applyFill="1" applyFont="1" applyNumberForma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3" xfId="0" applyAlignment="1" applyFill="1" applyFont="1" applyNumberFormat="1">
      <alignment readingOrder="0"/>
    </xf>
    <xf borderId="0" fillId="4" fontId="2" numFmtId="0" xfId="0" applyAlignment="1" applyFill="1" applyFont="1">
      <alignment readingOrder="0"/>
    </xf>
    <xf borderId="0" fillId="3" fontId="2" numFmtId="3" xfId="0" applyAlignment="1" applyFill="1" applyFont="1" applyNumberFormat="1">
      <alignment readingOrder="0"/>
    </xf>
    <xf borderId="0" fillId="3" fontId="2" numFmtId="3" xfId="0" applyFill="1" applyFont="1" applyNumberFormat="1"/>
    <xf borderId="0" fillId="4" fontId="2" numFmtId="3" xfId="0" applyAlignment="1" applyFill="1" applyFont="1" applyNumberFormat="1">
      <alignment readingOrder="0"/>
    </xf>
    <xf borderId="0" fillId="4" fontId="2" numFmtId="3" xfId="0" applyFill="1" applyFont="1" applyNumberFormat="1"/>
    <xf borderId="0" fillId="4" fontId="2" numFmtId="0" xfId="0" applyFill="1" applyFont="1"/>
    <xf borderId="0" fillId="3" fontId="2" numFmtId="0" xfId="0" applyFill="1" applyFont="1"/>
    <xf borderId="0" fillId="0" fontId="2" numFmtId="0" xfId="0" applyAlignment="1" applyFont="1">
      <alignment horizontal="center" readingOrder="0"/>
    </xf>
    <xf borderId="0" fillId="3" fontId="2" numFmtId="3" xfId="0" applyFill="1" applyFont="1" applyNumberFormat="1"/>
    <xf borderId="0" fillId="4" fontId="2" numFmtId="3" xfId="0" applyFill="1" applyFont="1" applyNumberForma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Font="1" applyNumberFormat="1"/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FAF7"/>
          <bgColor rgb="FFF4FAF7"/>
        </patternFill>
      </fill>
      <border/>
    </dxf>
  </dxfs>
  <tableStyles count="2">
    <tableStyle count="2" pivot="0" name="Setup Spa-style">
      <tableStyleElement dxfId="1" type="firstRowStripe"/>
      <tableStyleElement dxfId="2" type="secondRowStripe"/>
    </tableStyle>
    <tableStyle count="2" pivot="0" name="Setup Spa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36:H44" displayName="Table_1" name="Table_1" id="1">
  <tableColumns count="3">
    <tableColumn name="Column1" id="1"/>
    <tableColumn name="Column2" id="2"/>
    <tableColumn name="Column3" id="3"/>
  </tableColumns>
  <tableStyleInfo name="Setup Spa-style" showColumnStripes="0" showFirstColumn="1" showLastColumn="1" showRowStripes="1"/>
</table>
</file>

<file path=xl/tables/table2.xml><?xml version="1.0" encoding="utf-8"?>
<table xmlns="http://schemas.openxmlformats.org/spreadsheetml/2006/main" headerRowCount="0" ref="F46:G46" displayName="Table_2" name="Table_2" id="2">
  <tableColumns count="2">
    <tableColumn name="Column1" id="1"/>
    <tableColumn name="Column2" id="2"/>
  </tableColumns>
  <tableStyleInfo name="Setup Sp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</row>
    <row r="3">
      <c r="A3" s="3"/>
      <c r="B3" s="4" t="s">
        <v>1</v>
      </c>
      <c r="C3" s="4" t="s">
        <v>2</v>
      </c>
      <c r="D3" s="4" t="s">
        <v>3</v>
      </c>
      <c r="E3" s="4" t="s">
        <v>4</v>
      </c>
    </row>
    <row r="4">
      <c r="A4" s="3" t="s">
        <v>5</v>
      </c>
      <c r="B4" s="4">
        <v>5500000.0</v>
      </c>
      <c r="C4" s="4">
        <v>5500000.0</v>
      </c>
      <c r="D4" s="5">
        <v>1.0E7</v>
      </c>
      <c r="E4" s="6">
        <v>0.0</v>
      </c>
    </row>
    <row r="5">
      <c r="A5" s="3" t="s">
        <v>6</v>
      </c>
      <c r="B5" s="7">
        <v>0.15</v>
      </c>
      <c r="C5" s="8">
        <v>0.2</v>
      </c>
      <c r="D5" s="8">
        <v>0.1</v>
      </c>
      <c r="E5" s="9">
        <v>0.35</v>
      </c>
    </row>
    <row r="6">
      <c r="A6" s="3" t="s">
        <v>8</v>
      </c>
      <c r="B6" s="7">
        <v>0.25</v>
      </c>
      <c r="E6" s="9">
        <v>0.4</v>
      </c>
    </row>
    <row r="7">
      <c r="A7" s="3" t="s">
        <v>9</v>
      </c>
      <c r="B7" s="7">
        <v>0.05</v>
      </c>
      <c r="C7" s="7">
        <v>0.05</v>
      </c>
      <c r="D7" s="7">
        <v>0.05</v>
      </c>
    </row>
    <row r="8">
      <c r="A8" s="6" t="s">
        <v>10</v>
      </c>
      <c r="B8" s="16">
        <f>B4+(4*500000*B5)*26</f>
        <v>13300000</v>
      </c>
      <c r="C8" s="16">
        <f t="shared" ref="C8:D8" si="1">C4 + 26 * (4 * 500000 * C5)</f>
        <v>15900000</v>
      </c>
      <c r="D8" s="16">
        <f t="shared" si="1"/>
        <v>15200000</v>
      </c>
    </row>
    <row r="9">
      <c r="A9" s="6" t="s">
        <v>16</v>
      </c>
      <c r="B9" s="16">
        <f>B4+(4*500000*B5+2*500000*B6)*26</f>
        <v>19800000</v>
      </c>
      <c r="C9" s="16">
        <f t="shared" ref="C9:D9" si="2">C4 + 26 * (5 * 500000 * C5)</f>
        <v>18500000</v>
      </c>
      <c r="D9" s="16">
        <f t="shared" si="2"/>
        <v>16500000</v>
      </c>
    </row>
    <row r="11">
      <c r="A11" s="6" t="s">
        <v>17</v>
      </c>
      <c r="B11" s="6" t="s">
        <v>18</v>
      </c>
    </row>
    <row r="12">
      <c r="B12" s="6" t="s">
        <v>19</v>
      </c>
    </row>
    <row r="14">
      <c r="C14" s="6" t="s">
        <v>20</v>
      </c>
    </row>
    <row r="15">
      <c r="B15" s="6" t="s">
        <v>1</v>
      </c>
      <c r="C15" s="6" t="s">
        <v>2</v>
      </c>
    </row>
    <row r="16">
      <c r="A16" s="3" t="s">
        <v>5</v>
      </c>
      <c r="B16" s="6">
        <v>6000000.0</v>
      </c>
      <c r="C16" s="6">
        <v>8000000.0</v>
      </c>
    </row>
    <row r="17">
      <c r="A17" s="6" t="s">
        <v>9</v>
      </c>
      <c r="B17" s="9">
        <v>0.1</v>
      </c>
      <c r="C17" s="9">
        <v>0.1</v>
      </c>
    </row>
    <row r="18">
      <c r="A18" s="6" t="s">
        <v>21</v>
      </c>
    </row>
    <row r="19">
      <c r="A19" s="6" t="s">
        <v>22</v>
      </c>
    </row>
  </sheetData>
  <mergeCells count="3">
    <mergeCell ref="B2:D2"/>
    <mergeCell ref="C5:C6"/>
    <mergeCell ref="D5:D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3" width="17.38"/>
    <col customWidth="1" min="4" max="4" width="11.13"/>
    <col customWidth="1" min="5" max="5" width="25.25"/>
    <col customWidth="1" min="6" max="7" width="10.13"/>
    <col customWidth="1" min="8" max="8" width="5.5"/>
    <col customWidth="1" min="9" max="9" width="6.5"/>
    <col customWidth="1" min="10" max="10" width="8.75"/>
    <col customWidth="1" min="11" max="11" width="22.5"/>
  </cols>
  <sheetData>
    <row r="1" ht="6.75" customHeight="1"/>
    <row r="2">
      <c r="B2" s="10"/>
      <c r="C2" s="10" t="s">
        <v>7</v>
      </c>
      <c r="D2" s="12"/>
      <c r="E2" s="10" t="s">
        <v>11</v>
      </c>
      <c r="F2" s="10"/>
      <c r="G2" s="14" t="s">
        <v>15</v>
      </c>
      <c r="H2" s="15">
        <v>5.0</v>
      </c>
      <c r="M2" s="11" t="s">
        <v>12</v>
      </c>
      <c r="N2" s="11" t="s">
        <v>13</v>
      </c>
      <c r="O2" s="11" t="s">
        <v>14</v>
      </c>
    </row>
    <row r="3">
      <c r="B3" s="17"/>
      <c r="C3" s="17">
        <f>SUMIF(D8:D936, "Mua 1 lần", J8:J936)</f>
        <v>199125</v>
      </c>
      <c r="D3" s="17"/>
      <c r="E3" s="17">
        <f>SUMIF(D8:D936, "Thường xuyên", J8:J936)</f>
        <v>1881</v>
      </c>
      <c r="F3" s="17"/>
      <c r="M3" s="19">
        <f>COUNTIF(L8:L936, "Chưa mua")</f>
        <v>39</v>
      </c>
      <c r="N3" s="19">
        <f>COUNTIF(L8:L936, "Đang đặt hàng")</f>
        <v>0</v>
      </c>
      <c r="O3" s="19">
        <f>COUNTIF(L8:L936, "Đã nhận")</f>
        <v>0</v>
      </c>
    </row>
    <row r="7">
      <c r="B7" s="20" t="s">
        <v>24</v>
      </c>
      <c r="C7" s="20" t="s">
        <v>25</v>
      </c>
      <c r="D7" s="20" t="s">
        <v>26</v>
      </c>
      <c r="E7" s="20" t="s">
        <v>27</v>
      </c>
      <c r="F7" s="20" t="s">
        <v>40</v>
      </c>
      <c r="G7" s="20" t="s">
        <v>29</v>
      </c>
      <c r="H7" s="20" t="s">
        <v>41</v>
      </c>
      <c r="I7" s="20" t="s">
        <v>30</v>
      </c>
      <c r="J7" s="20" t="s">
        <v>31</v>
      </c>
      <c r="K7" s="20" t="s">
        <v>32</v>
      </c>
      <c r="L7" s="11" t="s">
        <v>33</v>
      </c>
    </row>
    <row r="8">
      <c r="B8" s="21" t="s">
        <v>45</v>
      </c>
      <c r="C8" s="21" t="s">
        <v>46</v>
      </c>
      <c r="D8" s="21" t="s">
        <v>37</v>
      </c>
      <c r="E8" s="21" t="s">
        <v>47</v>
      </c>
      <c r="F8" s="21">
        <v>1.0</v>
      </c>
      <c r="G8" s="21">
        <f t="shared" ref="G8:G21" si="1">F8*$H$2</f>
        <v>5</v>
      </c>
      <c r="H8" s="21" t="s">
        <v>49</v>
      </c>
      <c r="I8" s="27">
        <v>6000.0</v>
      </c>
      <c r="J8" s="28">
        <f t="shared" ref="J8:J44" si="2">G8*I8</f>
        <v>30000</v>
      </c>
      <c r="L8" s="23" t="s">
        <v>12</v>
      </c>
    </row>
    <row r="9">
      <c r="B9" s="24" t="s">
        <v>56</v>
      </c>
      <c r="C9" s="24" t="s">
        <v>46</v>
      </c>
      <c r="D9" s="24" t="s">
        <v>37</v>
      </c>
      <c r="E9" s="24" t="s">
        <v>57</v>
      </c>
      <c r="F9" s="24">
        <v>6.0</v>
      </c>
      <c r="G9" s="24">
        <f t="shared" si="1"/>
        <v>30</v>
      </c>
      <c r="H9" s="25" t="s">
        <v>49</v>
      </c>
      <c r="I9" s="29">
        <v>160.0</v>
      </c>
      <c r="J9" s="30">
        <f t="shared" si="2"/>
        <v>4800</v>
      </c>
      <c r="K9" s="31"/>
      <c r="L9" s="26" t="s">
        <v>12</v>
      </c>
    </row>
    <row r="10">
      <c r="B10" s="21" t="s">
        <v>45</v>
      </c>
      <c r="C10" s="21" t="s">
        <v>46</v>
      </c>
      <c r="D10" s="21" t="s">
        <v>37</v>
      </c>
      <c r="E10" s="21" t="s">
        <v>63</v>
      </c>
      <c r="F10" s="21">
        <v>10.0</v>
      </c>
      <c r="G10" s="21">
        <f t="shared" si="1"/>
        <v>50</v>
      </c>
      <c r="H10" s="22" t="s">
        <v>49</v>
      </c>
      <c r="I10" s="27">
        <v>73.0</v>
      </c>
      <c r="J10" s="28">
        <f t="shared" si="2"/>
        <v>3650</v>
      </c>
      <c r="K10" s="32"/>
      <c r="L10" s="23" t="s">
        <v>12</v>
      </c>
    </row>
    <row r="11">
      <c r="B11" s="24" t="s">
        <v>45</v>
      </c>
      <c r="C11" s="24" t="s">
        <v>46</v>
      </c>
      <c r="D11" s="24" t="s">
        <v>37</v>
      </c>
      <c r="E11" s="24" t="s">
        <v>68</v>
      </c>
      <c r="F11" s="24">
        <v>4.0</v>
      </c>
      <c r="G11" s="24">
        <f t="shared" si="1"/>
        <v>20</v>
      </c>
      <c r="H11" s="25" t="s">
        <v>49</v>
      </c>
      <c r="I11" s="29">
        <v>110.0</v>
      </c>
      <c r="J11" s="30">
        <f t="shared" si="2"/>
        <v>2200</v>
      </c>
      <c r="K11" s="31"/>
      <c r="L11" s="26" t="s">
        <v>12</v>
      </c>
    </row>
    <row r="12">
      <c r="B12" s="21" t="s">
        <v>45</v>
      </c>
      <c r="C12" s="21" t="s">
        <v>46</v>
      </c>
      <c r="D12" s="21" t="s">
        <v>37</v>
      </c>
      <c r="E12" s="21" t="s">
        <v>72</v>
      </c>
      <c r="F12" s="21">
        <v>2.0</v>
      </c>
      <c r="G12" s="21">
        <f t="shared" si="1"/>
        <v>10</v>
      </c>
      <c r="H12" s="22" t="s">
        <v>49</v>
      </c>
      <c r="I12" s="27">
        <v>200.0</v>
      </c>
      <c r="J12" s="28">
        <f t="shared" si="2"/>
        <v>2000</v>
      </c>
      <c r="K12" s="32"/>
      <c r="L12" s="23" t="s">
        <v>12</v>
      </c>
    </row>
    <row r="13">
      <c r="B13" s="24" t="s">
        <v>45</v>
      </c>
      <c r="C13" s="24" t="s">
        <v>46</v>
      </c>
      <c r="D13" s="24" t="s">
        <v>37</v>
      </c>
      <c r="E13" s="24" t="s">
        <v>76</v>
      </c>
      <c r="F13" s="24">
        <v>10.0</v>
      </c>
      <c r="G13" s="24">
        <f t="shared" si="1"/>
        <v>50</v>
      </c>
      <c r="H13" s="25" t="s">
        <v>49</v>
      </c>
      <c r="I13" s="29">
        <v>37.0</v>
      </c>
      <c r="J13" s="30">
        <f t="shared" si="2"/>
        <v>1850</v>
      </c>
      <c r="K13" s="31"/>
      <c r="L13" s="26" t="s">
        <v>12</v>
      </c>
    </row>
    <row r="14">
      <c r="B14" s="21" t="s">
        <v>45</v>
      </c>
      <c r="C14" s="21" t="s">
        <v>46</v>
      </c>
      <c r="D14" s="21" t="s">
        <v>37</v>
      </c>
      <c r="E14" s="21" t="s">
        <v>80</v>
      </c>
      <c r="F14" s="21">
        <v>1.0</v>
      </c>
      <c r="G14" s="21">
        <f t="shared" si="1"/>
        <v>5</v>
      </c>
      <c r="H14" s="22" t="s">
        <v>49</v>
      </c>
      <c r="I14" s="27">
        <v>150.0</v>
      </c>
      <c r="J14" s="28">
        <f t="shared" si="2"/>
        <v>750</v>
      </c>
      <c r="K14" s="32"/>
      <c r="L14" s="23" t="s">
        <v>12</v>
      </c>
    </row>
    <row r="15">
      <c r="B15" s="24" t="s">
        <v>56</v>
      </c>
      <c r="C15" s="24" t="s">
        <v>46</v>
      </c>
      <c r="D15" s="24" t="s">
        <v>37</v>
      </c>
      <c r="E15" s="24" t="s">
        <v>84</v>
      </c>
      <c r="F15" s="24">
        <v>2.0</v>
      </c>
      <c r="G15" s="24">
        <f t="shared" si="1"/>
        <v>10</v>
      </c>
      <c r="H15" s="25" t="s">
        <v>49</v>
      </c>
      <c r="I15" s="29">
        <v>55.0</v>
      </c>
      <c r="J15" s="30">
        <f t="shared" si="2"/>
        <v>550</v>
      </c>
      <c r="K15" s="31"/>
      <c r="L15" s="26" t="s">
        <v>12</v>
      </c>
    </row>
    <row r="16">
      <c r="B16" s="21" t="s">
        <v>45</v>
      </c>
      <c r="C16" s="21" t="s">
        <v>46</v>
      </c>
      <c r="D16" s="21" t="s">
        <v>37</v>
      </c>
      <c r="E16" s="21" t="s">
        <v>90</v>
      </c>
      <c r="F16" s="21">
        <v>1.0</v>
      </c>
      <c r="G16" s="21">
        <f t="shared" si="1"/>
        <v>5</v>
      </c>
      <c r="H16" s="22" t="s">
        <v>49</v>
      </c>
      <c r="I16" s="27">
        <v>100.0</v>
      </c>
      <c r="J16" s="28">
        <f t="shared" si="2"/>
        <v>500</v>
      </c>
      <c r="K16" s="32"/>
      <c r="L16" s="23" t="s">
        <v>12</v>
      </c>
    </row>
    <row r="17">
      <c r="B17" s="24" t="s">
        <v>45</v>
      </c>
      <c r="C17" s="24" t="s">
        <v>46</v>
      </c>
      <c r="D17" s="24" t="s">
        <v>37</v>
      </c>
      <c r="E17" s="24" t="s">
        <v>95</v>
      </c>
      <c r="F17" s="24">
        <v>0.4</v>
      </c>
      <c r="G17" s="24">
        <f t="shared" si="1"/>
        <v>2</v>
      </c>
      <c r="H17" s="25" t="s">
        <v>49</v>
      </c>
      <c r="I17" s="29">
        <v>200.0</v>
      </c>
      <c r="J17" s="30">
        <f t="shared" si="2"/>
        <v>400</v>
      </c>
      <c r="K17" s="31"/>
      <c r="L17" s="26" t="s">
        <v>12</v>
      </c>
    </row>
    <row r="18">
      <c r="B18" s="21" t="s">
        <v>56</v>
      </c>
      <c r="C18" s="21" t="s">
        <v>46</v>
      </c>
      <c r="D18" s="21" t="s">
        <v>37</v>
      </c>
      <c r="E18" s="21" t="s">
        <v>100</v>
      </c>
      <c r="F18" s="21">
        <v>2.0</v>
      </c>
      <c r="G18" s="21">
        <f t="shared" si="1"/>
        <v>10</v>
      </c>
      <c r="H18" s="22" t="s">
        <v>49</v>
      </c>
      <c r="I18" s="27">
        <v>25.0</v>
      </c>
      <c r="J18" s="28">
        <f t="shared" si="2"/>
        <v>250</v>
      </c>
      <c r="K18" s="32"/>
      <c r="L18" s="23" t="s">
        <v>12</v>
      </c>
    </row>
    <row r="19">
      <c r="B19" s="24" t="s">
        <v>56</v>
      </c>
      <c r="C19" s="24" t="s">
        <v>46</v>
      </c>
      <c r="D19" s="24" t="s">
        <v>37</v>
      </c>
      <c r="E19" s="24" t="s">
        <v>105</v>
      </c>
      <c r="F19" s="24">
        <v>1.0</v>
      </c>
      <c r="G19" s="24">
        <f t="shared" si="1"/>
        <v>5</v>
      </c>
      <c r="H19" s="25" t="s">
        <v>87</v>
      </c>
      <c r="I19" s="29">
        <v>40.0</v>
      </c>
      <c r="J19" s="30">
        <f t="shared" si="2"/>
        <v>200</v>
      </c>
      <c r="K19" s="31"/>
      <c r="L19" s="26" t="s">
        <v>12</v>
      </c>
    </row>
    <row r="20">
      <c r="B20" s="21" t="s">
        <v>56</v>
      </c>
      <c r="C20" s="21" t="s">
        <v>46</v>
      </c>
      <c r="D20" s="21" t="s">
        <v>37</v>
      </c>
      <c r="E20" s="21" t="s">
        <v>109</v>
      </c>
      <c r="F20" s="21">
        <v>2.0</v>
      </c>
      <c r="G20" s="21">
        <f t="shared" si="1"/>
        <v>10</v>
      </c>
      <c r="H20" s="22" t="s">
        <v>49</v>
      </c>
      <c r="I20" s="27">
        <v>15.0</v>
      </c>
      <c r="J20" s="28">
        <f t="shared" si="2"/>
        <v>150</v>
      </c>
      <c r="K20" s="32"/>
      <c r="L20" s="23" t="s">
        <v>12</v>
      </c>
    </row>
    <row r="21">
      <c r="B21" s="24" t="s">
        <v>45</v>
      </c>
      <c r="C21" s="24" t="s">
        <v>46</v>
      </c>
      <c r="D21" s="24" t="s">
        <v>37</v>
      </c>
      <c r="E21" s="24" t="s">
        <v>113</v>
      </c>
      <c r="F21" s="24">
        <v>1.0</v>
      </c>
      <c r="G21" s="24">
        <f t="shared" si="1"/>
        <v>5</v>
      </c>
      <c r="H21" s="25" t="s">
        <v>116</v>
      </c>
      <c r="I21" s="29">
        <v>25.0</v>
      </c>
      <c r="J21" s="30">
        <f t="shared" si="2"/>
        <v>125</v>
      </c>
      <c r="K21" s="31"/>
      <c r="L21" s="26" t="s">
        <v>12</v>
      </c>
    </row>
    <row r="22">
      <c r="B22" s="21" t="s">
        <v>45</v>
      </c>
      <c r="C22" s="21" t="s">
        <v>46</v>
      </c>
      <c r="D22" s="21" t="s">
        <v>37</v>
      </c>
      <c r="E22" s="21" t="s">
        <v>120</v>
      </c>
      <c r="F22" s="23"/>
      <c r="G22" s="21">
        <v>3.0</v>
      </c>
      <c r="H22" s="21" t="s">
        <v>49</v>
      </c>
      <c r="I22" s="28"/>
      <c r="J22" s="28">
        <f t="shared" si="2"/>
        <v>0</v>
      </c>
      <c r="L22" s="23" t="s">
        <v>12</v>
      </c>
    </row>
    <row r="23">
      <c r="B23" s="24" t="s">
        <v>45</v>
      </c>
      <c r="C23" s="24" t="s">
        <v>36</v>
      </c>
      <c r="D23" s="24" t="s">
        <v>37</v>
      </c>
      <c r="E23" s="24" t="s">
        <v>125</v>
      </c>
      <c r="F23" s="26"/>
      <c r="G23" s="24">
        <v>1.0</v>
      </c>
      <c r="H23" s="24" t="s">
        <v>126</v>
      </c>
      <c r="I23" s="29">
        <v>40000.0</v>
      </c>
      <c r="J23" s="30">
        <f t="shared" si="2"/>
        <v>40000</v>
      </c>
      <c r="K23" s="24" t="s">
        <v>128</v>
      </c>
      <c r="L23" s="26" t="s">
        <v>12</v>
      </c>
    </row>
    <row r="24">
      <c r="B24" s="21" t="s">
        <v>45</v>
      </c>
      <c r="C24" s="21" t="s">
        <v>36</v>
      </c>
      <c r="D24" s="21" t="s">
        <v>37</v>
      </c>
      <c r="E24" s="21" t="s">
        <v>131</v>
      </c>
      <c r="F24" s="23"/>
      <c r="G24" s="21">
        <v>1.0</v>
      </c>
      <c r="H24" s="21" t="s">
        <v>126</v>
      </c>
      <c r="I24" s="27">
        <v>28000.0</v>
      </c>
      <c r="J24" s="28">
        <f t="shared" si="2"/>
        <v>28000</v>
      </c>
      <c r="K24" s="21" t="s">
        <v>128</v>
      </c>
      <c r="L24" s="23" t="s">
        <v>12</v>
      </c>
    </row>
    <row r="25">
      <c r="B25" s="24" t="s">
        <v>45</v>
      </c>
      <c r="C25" s="24" t="s">
        <v>36</v>
      </c>
      <c r="D25" s="24" t="s">
        <v>37</v>
      </c>
      <c r="E25" s="24" t="s">
        <v>135</v>
      </c>
      <c r="F25" s="26"/>
      <c r="G25" s="24">
        <v>1.0</v>
      </c>
      <c r="H25" s="24" t="s">
        <v>126</v>
      </c>
      <c r="I25" s="29">
        <v>20000.0</v>
      </c>
      <c r="J25" s="30">
        <f t="shared" si="2"/>
        <v>20000</v>
      </c>
      <c r="K25" s="24" t="s">
        <v>128</v>
      </c>
      <c r="L25" s="26" t="s">
        <v>12</v>
      </c>
    </row>
    <row r="26">
      <c r="B26" s="21" t="s">
        <v>138</v>
      </c>
      <c r="C26" s="21" t="s">
        <v>36</v>
      </c>
      <c r="D26" s="21" t="s">
        <v>37</v>
      </c>
      <c r="E26" s="21" t="s">
        <v>139</v>
      </c>
      <c r="F26" s="23"/>
      <c r="G26" s="21">
        <v>1.0</v>
      </c>
      <c r="H26" s="21" t="s">
        <v>126</v>
      </c>
      <c r="I26" s="27">
        <v>20000.0</v>
      </c>
      <c r="J26" s="28">
        <f t="shared" si="2"/>
        <v>20000</v>
      </c>
      <c r="K26" s="21" t="s">
        <v>136</v>
      </c>
      <c r="L26" s="23" t="s">
        <v>12</v>
      </c>
    </row>
    <row r="27">
      <c r="B27" s="24" t="s">
        <v>138</v>
      </c>
      <c r="C27" s="24" t="s">
        <v>36</v>
      </c>
      <c r="D27" s="24" t="s">
        <v>37</v>
      </c>
      <c r="E27" s="24" t="s">
        <v>142</v>
      </c>
      <c r="F27" s="26"/>
      <c r="G27" s="24">
        <v>1.0</v>
      </c>
      <c r="H27" s="24" t="s">
        <v>126</v>
      </c>
      <c r="I27" s="29">
        <v>20000.0</v>
      </c>
      <c r="J27" s="30">
        <f t="shared" si="2"/>
        <v>20000</v>
      </c>
      <c r="K27" s="24" t="s">
        <v>136</v>
      </c>
      <c r="L27" s="26" t="s">
        <v>12</v>
      </c>
    </row>
    <row r="28">
      <c r="B28" s="21" t="s">
        <v>45</v>
      </c>
      <c r="C28" s="21" t="s">
        <v>36</v>
      </c>
      <c r="D28" s="21" t="s">
        <v>37</v>
      </c>
      <c r="E28" s="21" t="s">
        <v>148</v>
      </c>
      <c r="F28" s="21">
        <v>2.0</v>
      </c>
      <c r="G28" s="21">
        <v>2.0</v>
      </c>
      <c r="H28" s="22" t="s">
        <v>49</v>
      </c>
      <c r="I28" s="27">
        <v>700.0</v>
      </c>
      <c r="J28" s="28">
        <f t="shared" si="2"/>
        <v>1400</v>
      </c>
      <c r="K28" s="21" t="s">
        <v>150</v>
      </c>
      <c r="L28" s="23" t="s">
        <v>12</v>
      </c>
    </row>
    <row r="29">
      <c r="B29" s="24" t="s">
        <v>56</v>
      </c>
      <c r="C29" s="24" t="s">
        <v>36</v>
      </c>
      <c r="D29" s="24" t="s">
        <v>37</v>
      </c>
      <c r="E29" s="24" t="s">
        <v>152</v>
      </c>
      <c r="F29" s="24">
        <v>20.0</v>
      </c>
      <c r="G29" s="24">
        <v>20.0</v>
      </c>
      <c r="H29" s="25" t="s">
        <v>153</v>
      </c>
      <c r="I29" s="29">
        <v>35.0</v>
      </c>
      <c r="J29" s="30">
        <f t="shared" si="2"/>
        <v>700</v>
      </c>
      <c r="K29" s="31"/>
      <c r="L29" s="26" t="s">
        <v>12</v>
      </c>
    </row>
    <row r="30">
      <c r="B30" s="21" t="s">
        <v>45</v>
      </c>
      <c r="C30" s="21" t="s">
        <v>36</v>
      </c>
      <c r="D30" s="21" t="s">
        <v>85</v>
      </c>
      <c r="E30" s="21" t="s">
        <v>158</v>
      </c>
      <c r="F30" s="21"/>
      <c r="G30" s="21">
        <v>1.0</v>
      </c>
      <c r="H30" s="22" t="s">
        <v>159</v>
      </c>
      <c r="I30" s="27">
        <v>620.0</v>
      </c>
      <c r="J30" s="28">
        <f t="shared" si="2"/>
        <v>620</v>
      </c>
      <c r="K30" s="32"/>
      <c r="L30" s="23" t="s">
        <v>12</v>
      </c>
    </row>
    <row r="31">
      <c r="B31" s="24" t="s">
        <v>45</v>
      </c>
      <c r="C31" s="24" t="s">
        <v>36</v>
      </c>
      <c r="D31" s="24" t="s">
        <v>85</v>
      </c>
      <c r="E31" s="24" t="s">
        <v>163</v>
      </c>
      <c r="F31" s="24"/>
      <c r="G31" s="24">
        <v>3.0</v>
      </c>
      <c r="H31" s="25" t="s">
        <v>164</v>
      </c>
      <c r="I31" s="29">
        <v>145.0</v>
      </c>
      <c r="J31" s="30">
        <f t="shared" si="2"/>
        <v>435</v>
      </c>
      <c r="K31" s="24" t="s">
        <v>166</v>
      </c>
      <c r="L31" s="26" t="s">
        <v>12</v>
      </c>
    </row>
    <row r="32">
      <c r="B32" s="21" t="s">
        <v>168</v>
      </c>
      <c r="C32" s="21" t="s">
        <v>36</v>
      </c>
      <c r="D32" s="21" t="s">
        <v>85</v>
      </c>
      <c r="E32" s="21" t="s">
        <v>169</v>
      </c>
      <c r="F32" s="21"/>
      <c r="G32" s="21">
        <v>2.0</v>
      </c>
      <c r="H32" s="22" t="s">
        <v>87</v>
      </c>
      <c r="I32" s="27">
        <v>136.0</v>
      </c>
      <c r="J32" s="28">
        <f t="shared" si="2"/>
        <v>272</v>
      </c>
      <c r="K32" s="21" t="s">
        <v>88</v>
      </c>
      <c r="L32" s="23" t="s">
        <v>12</v>
      </c>
    </row>
    <row r="33">
      <c r="B33" s="24" t="s">
        <v>168</v>
      </c>
      <c r="C33" s="24" t="s">
        <v>36</v>
      </c>
      <c r="D33" s="24" t="s">
        <v>37</v>
      </c>
      <c r="E33" s="24" t="s">
        <v>170</v>
      </c>
      <c r="F33" s="24"/>
      <c r="G33" s="24">
        <v>3.0</v>
      </c>
      <c r="H33" s="25" t="s">
        <v>171</v>
      </c>
      <c r="I33" s="29">
        <v>90.0</v>
      </c>
      <c r="J33" s="30">
        <f t="shared" si="2"/>
        <v>270</v>
      </c>
      <c r="K33" s="31"/>
      <c r="L33" s="26" t="s">
        <v>12</v>
      </c>
    </row>
    <row r="34">
      <c r="B34" s="21" t="s">
        <v>45</v>
      </c>
      <c r="C34" s="21" t="s">
        <v>36</v>
      </c>
      <c r="D34" s="21" t="s">
        <v>85</v>
      </c>
      <c r="E34" s="21" t="s">
        <v>172</v>
      </c>
      <c r="F34" s="21"/>
      <c r="G34" s="21">
        <v>1.0</v>
      </c>
      <c r="H34" s="22" t="s">
        <v>116</v>
      </c>
      <c r="I34" s="27">
        <v>230.0</v>
      </c>
      <c r="J34" s="28">
        <f t="shared" si="2"/>
        <v>230</v>
      </c>
      <c r="K34" s="21" t="s">
        <v>88</v>
      </c>
      <c r="L34" s="23" t="s">
        <v>12</v>
      </c>
    </row>
    <row r="35">
      <c r="B35" s="24" t="s">
        <v>138</v>
      </c>
      <c r="C35" s="24" t="s">
        <v>36</v>
      </c>
      <c r="D35" s="24" t="s">
        <v>37</v>
      </c>
      <c r="E35" s="24" t="s">
        <v>173</v>
      </c>
      <c r="F35" s="24"/>
      <c r="G35" s="24">
        <v>1.0</v>
      </c>
      <c r="H35" s="25" t="s">
        <v>49</v>
      </c>
      <c r="I35" s="29">
        <v>120.0</v>
      </c>
      <c r="J35" s="30">
        <f t="shared" si="2"/>
        <v>120</v>
      </c>
      <c r="K35" s="31"/>
      <c r="L35" s="26" t="s">
        <v>12</v>
      </c>
    </row>
    <row r="36">
      <c r="B36" s="36" t="s">
        <v>138</v>
      </c>
      <c r="C36" s="36" t="s">
        <v>36</v>
      </c>
      <c r="D36" s="36" t="s">
        <v>37</v>
      </c>
      <c r="E36" s="36" t="s">
        <v>174</v>
      </c>
      <c r="F36" s="36"/>
      <c r="G36" s="36">
        <v>1.0</v>
      </c>
      <c r="H36" s="37" t="s">
        <v>49</v>
      </c>
      <c r="I36" s="38">
        <v>120.0</v>
      </c>
      <c r="J36" s="39">
        <f t="shared" si="2"/>
        <v>120</v>
      </c>
      <c r="K36" s="40"/>
      <c r="L36" s="41" t="s">
        <v>12</v>
      </c>
    </row>
    <row r="37">
      <c r="B37" s="36" t="s">
        <v>168</v>
      </c>
      <c r="C37" s="36" t="s">
        <v>36</v>
      </c>
      <c r="D37" s="36" t="s">
        <v>37</v>
      </c>
      <c r="E37" s="36" t="s">
        <v>175</v>
      </c>
      <c r="F37" s="36"/>
      <c r="G37" s="36">
        <v>3.0</v>
      </c>
      <c r="H37" s="37" t="s">
        <v>49</v>
      </c>
      <c r="I37" s="38">
        <v>30.0</v>
      </c>
      <c r="J37" s="39">
        <f t="shared" si="2"/>
        <v>90</v>
      </c>
      <c r="K37" s="36" t="s">
        <v>88</v>
      </c>
      <c r="L37" s="41" t="s">
        <v>12</v>
      </c>
    </row>
    <row r="38">
      <c r="B38" s="36" t="s">
        <v>168</v>
      </c>
      <c r="C38" s="36" t="s">
        <v>36</v>
      </c>
      <c r="D38" s="36" t="s">
        <v>85</v>
      </c>
      <c r="E38" s="36" t="s">
        <v>176</v>
      </c>
      <c r="F38" s="36"/>
      <c r="G38" s="36">
        <v>2.0</v>
      </c>
      <c r="H38" s="37" t="s">
        <v>177</v>
      </c>
      <c r="I38" s="38">
        <v>45.0</v>
      </c>
      <c r="J38" s="39">
        <f t="shared" si="2"/>
        <v>90</v>
      </c>
      <c r="K38" s="36" t="s">
        <v>88</v>
      </c>
      <c r="L38" s="41" t="s">
        <v>12</v>
      </c>
    </row>
    <row r="39">
      <c r="B39" s="36" t="s">
        <v>168</v>
      </c>
      <c r="C39" s="36" t="s">
        <v>36</v>
      </c>
      <c r="D39" s="36" t="s">
        <v>85</v>
      </c>
      <c r="E39" s="36" t="s">
        <v>178</v>
      </c>
      <c r="F39" s="36"/>
      <c r="G39" s="36">
        <v>2.0</v>
      </c>
      <c r="H39" s="37" t="s">
        <v>87</v>
      </c>
      <c r="I39" s="38">
        <v>35.0</v>
      </c>
      <c r="J39" s="39">
        <f t="shared" si="2"/>
        <v>70</v>
      </c>
      <c r="K39" s="36" t="s">
        <v>88</v>
      </c>
      <c r="L39" s="41" t="s">
        <v>12</v>
      </c>
    </row>
    <row r="40">
      <c r="B40" s="36" t="s">
        <v>168</v>
      </c>
      <c r="C40" s="36" t="s">
        <v>36</v>
      </c>
      <c r="D40" s="36" t="s">
        <v>85</v>
      </c>
      <c r="E40" s="36" t="s">
        <v>179</v>
      </c>
      <c r="F40" s="36"/>
      <c r="G40" s="36">
        <v>2.0</v>
      </c>
      <c r="H40" s="37" t="s">
        <v>87</v>
      </c>
      <c r="I40" s="38">
        <v>32.0</v>
      </c>
      <c r="J40" s="39">
        <f t="shared" si="2"/>
        <v>64</v>
      </c>
      <c r="K40" s="36" t="s">
        <v>88</v>
      </c>
      <c r="L40" s="42" t="s">
        <v>12</v>
      </c>
    </row>
    <row r="41">
      <c r="B41" s="36" t="s">
        <v>168</v>
      </c>
      <c r="C41" s="36" t="s">
        <v>36</v>
      </c>
      <c r="D41" s="36" t="s">
        <v>85</v>
      </c>
      <c r="E41" s="36" t="s">
        <v>180</v>
      </c>
      <c r="F41" s="36"/>
      <c r="G41" s="36">
        <v>2.0</v>
      </c>
      <c r="H41" s="37" t="s">
        <v>177</v>
      </c>
      <c r="I41" s="38">
        <v>25.0</v>
      </c>
      <c r="J41" s="39">
        <f t="shared" si="2"/>
        <v>50</v>
      </c>
      <c r="K41" s="36" t="s">
        <v>88</v>
      </c>
      <c r="L41" s="42" t="s">
        <v>12</v>
      </c>
    </row>
    <row r="42">
      <c r="B42" s="36" t="s">
        <v>168</v>
      </c>
      <c r="C42" s="36" t="s">
        <v>36</v>
      </c>
      <c r="D42" s="36" t="s">
        <v>85</v>
      </c>
      <c r="E42" s="36" t="s">
        <v>181</v>
      </c>
      <c r="F42" s="36"/>
      <c r="G42" s="36">
        <v>2.0</v>
      </c>
      <c r="H42" s="37" t="s">
        <v>87</v>
      </c>
      <c r="I42" s="38">
        <v>25.0</v>
      </c>
      <c r="J42" s="39">
        <f t="shared" si="2"/>
        <v>50</v>
      </c>
      <c r="K42" s="36" t="s">
        <v>88</v>
      </c>
      <c r="L42" s="41" t="s">
        <v>12</v>
      </c>
    </row>
    <row r="43">
      <c r="B43" s="6" t="s">
        <v>56</v>
      </c>
      <c r="C43" s="6" t="s">
        <v>36</v>
      </c>
      <c r="D43" s="6" t="s">
        <v>37</v>
      </c>
      <c r="E43" s="6" t="s">
        <v>182</v>
      </c>
      <c r="F43" s="42"/>
      <c r="G43" s="36">
        <v>3.0</v>
      </c>
      <c r="H43" s="36" t="s">
        <v>49</v>
      </c>
      <c r="I43" s="43"/>
      <c r="J43" s="39">
        <f t="shared" si="2"/>
        <v>0</v>
      </c>
      <c r="K43" s="36" t="s">
        <v>88</v>
      </c>
      <c r="L43" s="42" t="s">
        <v>12</v>
      </c>
    </row>
    <row r="44">
      <c r="B44" s="6" t="s">
        <v>138</v>
      </c>
      <c r="C44" s="6" t="s">
        <v>36</v>
      </c>
      <c r="D44" s="6" t="s">
        <v>37</v>
      </c>
      <c r="E44" s="6" t="s">
        <v>183</v>
      </c>
      <c r="F44" s="36"/>
      <c r="G44" s="36">
        <v>1.0</v>
      </c>
      <c r="H44" s="36" t="s">
        <v>49</v>
      </c>
      <c r="I44" s="43"/>
      <c r="J44" s="39">
        <f t="shared" si="2"/>
        <v>0</v>
      </c>
      <c r="L44" s="41" t="s">
        <v>12</v>
      </c>
    </row>
    <row r="45">
      <c r="B45" s="36" t="s">
        <v>45</v>
      </c>
      <c r="C45" s="6" t="s">
        <v>36</v>
      </c>
      <c r="D45" s="6" t="s">
        <v>37</v>
      </c>
      <c r="E45" s="6" t="s">
        <v>167</v>
      </c>
      <c r="G45" s="6">
        <v>1.0</v>
      </c>
      <c r="H45" s="6" t="s">
        <v>49</v>
      </c>
      <c r="I45" s="43"/>
      <c r="J45" s="38">
        <v>11000.0</v>
      </c>
      <c r="K45" s="6" t="s">
        <v>136</v>
      </c>
      <c r="L45" s="41" t="s">
        <v>12</v>
      </c>
    </row>
    <row r="46">
      <c r="B46" s="36" t="s">
        <v>45</v>
      </c>
      <c r="C46" s="6" t="s">
        <v>46</v>
      </c>
      <c r="D46" s="6" t="s">
        <v>37</v>
      </c>
      <c r="E46" s="6" t="s">
        <v>184</v>
      </c>
      <c r="F46" s="36">
        <v>1.0</v>
      </c>
      <c r="G46" s="36">
        <f>F46*$H$2</f>
        <v>5</v>
      </c>
      <c r="H46" s="6" t="s">
        <v>185</v>
      </c>
      <c r="I46" s="44">
        <v>2000.0</v>
      </c>
      <c r="J46" s="39">
        <f>G46*I46</f>
        <v>10000</v>
      </c>
      <c r="L46" s="6" t="s">
        <v>12</v>
      </c>
    </row>
    <row r="47">
      <c r="I47" s="43"/>
      <c r="J47" s="43"/>
      <c r="L47" s="18"/>
    </row>
    <row r="48">
      <c r="I48" s="43"/>
      <c r="J48" s="43"/>
      <c r="L48" s="18"/>
    </row>
    <row r="49">
      <c r="I49" s="43"/>
      <c r="J49" s="43"/>
      <c r="L49" s="18"/>
    </row>
    <row r="50">
      <c r="L50" s="18"/>
    </row>
    <row r="51">
      <c r="L51" s="18"/>
    </row>
    <row r="52">
      <c r="L52" s="18"/>
    </row>
    <row r="53">
      <c r="L53" s="18"/>
    </row>
    <row r="54">
      <c r="L54" s="18"/>
    </row>
    <row r="55">
      <c r="L55" s="18"/>
    </row>
    <row r="56">
      <c r="L56" s="18"/>
    </row>
    <row r="57">
      <c r="L57" s="18"/>
    </row>
    <row r="58">
      <c r="L58" s="18"/>
    </row>
    <row r="59">
      <c r="L59" s="18"/>
    </row>
    <row r="60">
      <c r="L60" s="18"/>
    </row>
    <row r="61">
      <c r="L61" s="18"/>
    </row>
    <row r="62">
      <c r="L62" s="18"/>
    </row>
    <row r="63">
      <c r="L63" s="18"/>
    </row>
    <row r="64">
      <c r="L64" s="18"/>
    </row>
    <row r="65">
      <c r="L65" s="18"/>
    </row>
    <row r="66">
      <c r="L66" s="18"/>
    </row>
    <row r="67">
      <c r="L67" s="18"/>
    </row>
    <row r="68">
      <c r="L68" s="18"/>
    </row>
    <row r="69">
      <c r="L69" s="18"/>
    </row>
    <row r="70">
      <c r="L70" s="18"/>
    </row>
    <row r="71">
      <c r="L71" s="18"/>
    </row>
    <row r="72">
      <c r="L72" s="18"/>
    </row>
    <row r="73">
      <c r="L73" s="18"/>
    </row>
    <row r="74">
      <c r="L74" s="18"/>
    </row>
    <row r="75">
      <c r="L75" s="18"/>
    </row>
    <row r="76">
      <c r="L76" s="18"/>
    </row>
    <row r="77">
      <c r="L77" s="18"/>
    </row>
    <row r="78">
      <c r="L78" s="18"/>
    </row>
    <row r="79">
      <c r="L79" s="18"/>
    </row>
    <row r="80">
      <c r="L80" s="18"/>
    </row>
    <row r="81">
      <c r="L81" s="18"/>
    </row>
    <row r="82">
      <c r="L82" s="18"/>
    </row>
    <row r="83">
      <c r="L83" s="18"/>
    </row>
    <row r="84">
      <c r="L84" s="18"/>
    </row>
    <row r="85">
      <c r="L85" s="18"/>
    </row>
    <row r="86">
      <c r="L86" s="18"/>
    </row>
    <row r="87">
      <c r="L87" s="18"/>
    </row>
    <row r="88">
      <c r="L88" s="18"/>
    </row>
    <row r="89">
      <c r="L89" s="18"/>
    </row>
    <row r="90">
      <c r="L90" s="18"/>
    </row>
    <row r="91">
      <c r="L91" s="18"/>
    </row>
    <row r="92">
      <c r="L92" s="18"/>
    </row>
    <row r="93">
      <c r="L93" s="18"/>
    </row>
    <row r="94">
      <c r="L94" s="18"/>
    </row>
    <row r="95">
      <c r="L95" s="18"/>
    </row>
    <row r="96">
      <c r="L96" s="18"/>
    </row>
    <row r="97">
      <c r="L97" s="18"/>
    </row>
    <row r="98">
      <c r="L98" s="18"/>
    </row>
    <row r="99">
      <c r="L99" s="18"/>
    </row>
    <row r="100">
      <c r="L100" s="18"/>
    </row>
  </sheetData>
  <autoFilter ref="$C$7:$K$35"/>
  <dataValidations>
    <dataValidation type="list" allowBlank="1" sqref="L8:L100">
      <formula1>"Chưa mua,Đang đặt hàng,Đã nhận"</formula1>
    </dataValidation>
    <dataValidation type="list" allowBlank="1" sqref="B8:B46">
      <formula1>"Khu vực trị liệu,Lễ tân / Bên ngoài"</formula1>
    </dataValidation>
    <dataValidation type="list" allowBlank="1" sqref="C8:C46">
      <formula1>"Theo giường,Dùng chung"</formula1>
    </dataValidation>
    <dataValidation type="list" allowBlank="1" sqref="D8:D46">
      <formula1>"Mua 1 lần,Thường xuyên"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5" width="12.63"/>
    <col customWidth="1" min="6" max="6" width="25.13"/>
    <col customWidth="1" min="7" max="7" width="12.63"/>
    <col customWidth="1" min="8" max="8" width="10.13"/>
    <col customWidth="1" min="9" max="9" width="12.63"/>
    <col customWidth="1" min="10" max="10" width="15.13"/>
    <col customWidth="1" min="11" max="11" width="18.88"/>
    <col customWidth="1" min="12" max="12" width="15.13"/>
  </cols>
  <sheetData>
    <row r="1" ht="6.75" customHeight="1"/>
    <row r="2">
      <c r="B2" s="10" t="s">
        <v>7</v>
      </c>
      <c r="C2" s="10" t="s">
        <v>11</v>
      </c>
      <c r="E2" s="11" t="s">
        <v>12</v>
      </c>
      <c r="F2" s="11" t="s">
        <v>13</v>
      </c>
      <c r="G2" s="13" t="s">
        <v>14</v>
      </c>
    </row>
    <row r="3">
      <c r="B3" s="17">
        <f>SUMIF(E8:E1002, "Mua 1 lần", J8:J1002)</f>
        <v>66190</v>
      </c>
      <c r="C3" s="17">
        <f>SUMIF(E8:E1002, "Thường xuyên", J8:J1002)</f>
        <v>0</v>
      </c>
      <c r="D3" s="18">
        <f>SUMIFS(J8:J34, E8:E34, "Thường xuyên")</f>
        <v>0</v>
      </c>
      <c r="E3" s="19">
        <f>COUNTIF(L8:L1002, "Chưa mua")</f>
        <v>26</v>
      </c>
      <c r="F3" s="19">
        <f>COUNTIF(L8:L1002, "Đang đặt hàng")</f>
        <v>0</v>
      </c>
      <c r="G3" s="19">
        <f>COUNTIF(L8:L1002, "Đã nhận")</f>
        <v>2</v>
      </c>
    </row>
    <row r="7">
      <c r="B7" s="20" t="s">
        <v>23</v>
      </c>
      <c r="C7" s="20" t="s">
        <v>24</v>
      </c>
      <c r="D7" s="20" t="s">
        <v>25</v>
      </c>
      <c r="E7" s="20" t="s">
        <v>26</v>
      </c>
      <c r="F7" s="20" t="s">
        <v>27</v>
      </c>
      <c r="G7" s="20" t="s">
        <v>28</v>
      </c>
      <c r="H7" s="20" t="s">
        <v>29</v>
      </c>
      <c r="I7" s="20" t="s">
        <v>30</v>
      </c>
      <c r="J7" s="20" t="s">
        <v>31</v>
      </c>
      <c r="K7" s="20" t="s">
        <v>32</v>
      </c>
      <c r="L7" s="20" t="s">
        <v>33</v>
      </c>
      <c r="M7" s="6"/>
    </row>
    <row r="8">
      <c r="B8" s="21" t="s">
        <v>34</v>
      </c>
      <c r="C8" s="21" t="s">
        <v>35</v>
      </c>
      <c r="D8" s="21" t="s">
        <v>36</v>
      </c>
      <c r="E8" s="21" t="s">
        <v>37</v>
      </c>
      <c r="F8" s="21" t="s">
        <v>38</v>
      </c>
      <c r="G8" s="21" t="s">
        <v>39</v>
      </c>
      <c r="H8" s="21">
        <v>1.0</v>
      </c>
      <c r="I8" s="22"/>
      <c r="J8" s="22">
        <v>6000.0</v>
      </c>
      <c r="K8" s="23"/>
      <c r="L8" s="19" t="s">
        <v>12</v>
      </c>
      <c r="M8" s="6"/>
    </row>
    <row r="9">
      <c r="B9" s="24" t="s">
        <v>42</v>
      </c>
      <c r="C9" s="24" t="s">
        <v>35</v>
      </c>
      <c r="D9" s="24" t="s">
        <v>36</v>
      </c>
      <c r="E9" s="24" t="s">
        <v>37</v>
      </c>
      <c r="F9" s="24" t="s">
        <v>43</v>
      </c>
      <c r="G9" s="24" t="s">
        <v>44</v>
      </c>
      <c r="H9" s="24">
        <v>1.0</v>
      </c>
      <c r="I9" s="25"/>
      <c r="J9" s="25">
        <v>1000.0</v>
      </c>
      <c r="K9" s="26"/>
      <c r="L9" s="19" t="s">
        <v>12</v>
      </c>
      <c r="M9" s="6"/>
    </row>
    <row r="10">
      <c r="B10" s="21" t="s">
        <v>48</v>
      </c>
      <c r="C10" s="21" t="s">
        <v>35</v>
      </c>
      <c r="D10" s="21" t="s">
        <v>36</v>
      </c>
      <c r="E10" s="21" t="s">
        <v>37</v>
      </c>
      <c r="F10" s="21" t="s">
        <v>50</v>
      </c>
      <c r="G10" s="21" t="s">
        <v>51</v>
      </c>
      <c r="H10" s="21">
        <v>1.0</v>
      </c>
      <c r="I10" s="22"/>
      <c r="J10" s="22">
        <v>1000.0</v>
      </c>
      <c r="K10" s="23"/>
      <c r="L10" s="19" t="s">
        <v>12</v>
      </c>
      <c r="M10" s="6"/>
    </row>
    <row r="11">
      <c r="B11" s="24" t="s">
        <v>52</v>
      </c>
      <c r="C11" s="24" t="s">
        <v>53</v>
      </c>
      <c r="D11" s="24" t="s">
        <v>36</v>
      </c>
      <c r="E11" s="24" t="s">
        <v>37</v>
      </c>
      <c r="F11" s="24" t="s">
        <v>54</v>
      </c>
      <c r="G11" s="24" t="s">
        <v>55</v>
      </c>
      <c r="H11" s="24">
        <v>1.0</v>
      </c>
      <c r="I11" s="25">
        <v>3000.0</v>
      </c>
      <c r="J11" s="25">
        <f t="shared" ref="J11:J34" si="1">H11*I11</f>
        <v>3000</v>
      </c>
      <c r="K11" s="26"/>
      <c r="L11" s="19" t="s">
        <v>12</v>
      </c>
      <c r="M11" s="6"/>
    </row>
    <row r="12">
      <c r="B12" s="21" t="s">
        <v>58</v>
      </c>
      <c r="C12" s="21" t="s">
        <v>59</v>
      </c>
      <c r="D12" s="21" t="s">
        <v>36</v>
      </c>
      <c r="E12" s="21" t="s">
        <v>37</v>
      </c>
      <c r="F12" s="21" t="s">
        <v>60</v>
      </c>
      <c r="G12" s="21" t="s">
        <v>61</v>
      </c>
      <c r="H12" s="21">
        <v>3.0</v>
      </c>
      <c r="I12" s="22">
        <v>3000.0</v>
      </c>
      <c r="J12" s="22">
        <f t="shared" si="1"/>
        <v>9000</v>
      </c>
      <c r="K12" s="23"/>
      <c r="L12" s="19" t="s">
        <v>12</v>
      </c>
      <c r="M12" s="6"/>
    </row>
    <row r="13">
      <c r="B13" s="24" t="s">
        <v>62</v>
      </c>
      <c r="C13" s="24" t="s">
        <v>64</v>
      </c>
      <c r="D13" s="24" t="s">
        <v>36</v>
      </c>
      <c r="E13" s="24" t="s">
        <v>37</v>
      </c>
      <c r="F13" s="24" t="s">
        <v>65</v>
      </c>
      <c r="G13" s="24" t="s">
        <v>66</v>
      </c>
      <c r="H13" s="24">
        <v>1.0</v>
      </c>
      <c r="I13" s="25"/>
      <c r="J13" s="25">
        <f t="shared" si="1"/>
        <v>0</v>
      </c>
      <c r="K13" s="26"/>
      <c r="L13" s="19" t="s">
        <v>12</v>
      </c>
      <c r="M13" s="6"/>
    </row>
    <row r="14">
      <c r="B14" s="21" t="s">
        <v>67</v>
      </c>
      <c r="C14" s="21" t="s">
        <v>64</v>
      </c>
      <c r="D14" s="21" t="s">
        <v>36</v>
      </c>
      <c r="E14" s="21" t="s">
        <v>37</v>
      </c>
      <c r="F14" s="21" t="s">
        <v>69</v>
      </c>
      <c r="G14" s="21" t="s">
        <v>70</v>
      </c>
      <c r="H14" s="21">
        <v>1.0</v>
      </c>
      <c r="I14" s="22">
        <v>4000.0</v>
      </c>
      <c r="J14" s="22">
        <f t="shared" si="1"/>
        <v>4000</v>
      </c>
      <c r="K14" s="23"/>
      <c r="L14" s="19" t="s">
        <v>12</v>
      </c>
      <c r="M14" s="6"/>
    </row>
    <row r="15">
      <c r="B15" s="24" t="s">
        <v>71</v>
      </c>
      <c r="C15" s="24" t="s">
        <v>64</v>
      </c>
      <c r="D15" s="24" t="s">
        <v>36</v>
      </c>
      <c r="E15" s="24" t="s">
        <v>37</v>
      </c>
      <c r="F15" s="24" t="s">
        <v>73</v>
      </c>
      <c r="G15" s="24" t="s">
        <v>61</v>
      </c>
      <c r="I15" s="31"/>
      <c r="J15" s="25">
        <f t="shared" si="1"/>
        <v>0</v>
      </c>
      <c r="K15" s="26"/>
      <c r="L15" s="19" t="s">
        <v>12</v>
      </c>
      <c r="M15" s="6"/>
    </row>
    <row r="16">
      <c r="B16" s="21" t="s">
        <v>74</v>
      </c>
      <c r="C16" s="21" t="s">
        <v>75</v>
      </c>
      <c r="D16" s="21" t="s">
        <v>36</v>
      </c>
      <c r="E16" s="21" t="s">
        <v>37</v>
      </c>
      <c r="F16" s="21" t="s">
        <v>77</v>
      </c>
      <c r="G16" s="21" t="s">
        <v>78</v>
      </c>
      <c r="H16" s="21">
        <v>1.0</v>
      </c>
      <c r="I16" s="22">
        <v>5000.0</v>
      </c>
      <c r="J16" s="22">
        <f t="shared" si="1"/>
        <v>5000</v>
      </c>
      <c r="K16" s="23"/>
      <c r="L16" s="19" t="s">
        <v>12</v>
      </c>
      <c r="M16" s="6"/>
    </row>
    <row r="17">
      <c r="B17" s="24" t="s">
        <v>79</v>
      </c>
      <c r="C17" s="24" t="s">
        <v>75</v>
      </c>
      <c r="D17" s="24" t="s">
        <v>36</v>
      </c>
      <c r="E17" s="24" t="s">
        <v>37</v>
      </c>
      <c r="F17" s="24" t="s">
        <v>81</v>
      </c>
      <c r="G17" s="24" t="s">
        <v>61</v>
      </c>
      <c r="H17" s="24">
        <v>1.0</v>
      </c>
      <c r="I17" s="25">
        <v>10000.0</v>
      </c>
      <c r="J17" s="25">
        <f t="shared" si="1"/>
        <v>10000</v>
      </c>
      <c r="K17" s="24" t="s">
        <v>82</v>
      </c>
      <c r="L17" s="19" t="s">
        <v>12</v>
      </c>
      <c r="M17" s="6"/>
    </row>
    <row r="18">
      <c r="B18" s="21" t="s">
        <v>83</v>
      </c>
      <c r="C18" s="21" t="s">
        <v>75</v>
      </c>
      <c r="D18" s="21" t="s">
        <v>36</v>
      </c>
      <c r="E18" s="21" t="s">
        <v>85</v>
      </c>
      <c r="F18" s="21" t="s">
        <v>86</v>
      </c>
      <c r="G18" s="21" t="s">
        <v>87</v>
      </c>
      <c r="H18" s="21"/>
      <c r="I18" s="22">
        <v>500.0</v>
      </c>
      <c r="J18" s="22">
        <f t="shared" si="1"/>
        <v>0</v>
      </c>
      <c r="K18" s="21" t="s">
        <v>88</v>
      </c>
      <c r="L18" s="19" t="s">
        <v>12</v>
      </c>
      <c r="M18" s="6"/>
    </row>
    <row r="19">
      <c r="B19" s="24" t="s">
        <v>89</v>
      </c>
      <c r="C19" s="24" t="s">
        <v>75</v>
      </c>
      <c r="D19" s="24" t="s">
        <v>36</v>
      </c>
      <c r="E19" s="24" t="s">
        <v>37</v>
      </c>
      <c r="F19" s="24" t="s">
        <v>91</v>
      </c>
      <c r="G19" s="24" t="s">
        <v>92</v>
      </c>
      <c r="H19" s="24">
        <v>1.0</v>
      </c>
      <c r="I19" s="25">
        <v>500.0</v>
      </c>
      <c r="J19" s="25">
        <f t="shared" si="1"/>
        <v>500</v>
      </c>
      <c r="K19" s="26"/>
      <c r="L19" s="19" t="s">
        <v>12</v>
      </c>
      <c r="M19" s="6"/>
    </row>
    <row r="20">
      <c r="B20" s="21" t="s">
        <v>93</v>
      </c>
      <c r="C20" s="21" t="s">
        <v>94</v>
      </c>
      <c r="D20" s="21" t="s">
        <v>36</v>
      </c>
      <c r="E20" s="21" t="s">
        <v>37</v>
      </c>
      <c r="F20" s="21" t="s">
        <v>96</v>
      </c>
      <c r="G20" s="21" t="s">
        <v>97</v>
      </c>
      <c r="H20" s="21">
        <v>1.0</v>
      </c>
      <c r="I20" s="22">
        <v>8000.0</v>
      </c>
      <c r="J20" s="22">
        <f t="shared" si="1"/>
        <v>8000</v>
      </c>
      <c r="K20" s="23"/>
      <c r="L20" s="19" t="s">
        <v>12</v>
      </c>
      <c r="M20" s="6"/>
    </row>
    <row r="21">
      <c r="B21" s="24" t="s">
        <v>98</v>
      </c>
      <c r="C21" s="24" t="s">
        <v>99</v>
      </c>
      <c r="D21" s="24" t="s">
        <v>36</v>
      </c>
      <c r="E21" s="24" t="s">
        <v>37</v>
      </c>
      <c r="F21" s="24" t="s">
        <v>101</v>
      </c>
      <c r="G21" s="24" t="s">
        <v>102</v>
      </c>
      <c r="H21" s="24">
        <v>1.0</v>
      </c>
      <c r="I21" s="25">
        <v>2000.0</v>
      </c>
      <c r="J21" s="25">
        <f t="shared" si="1"/>
        <v>2000</v>
      </c>
      <c r="K21" s="26"/>
      <c r="L21" s="19" t="s">
        <v>12</v>
      </c>
      <c r="M21" s="6"/>
    </row>
    <row r="22">
      <c r="B22" s="21" t="s">
        <v>103</v>
      </c>
      <c r="C22" s="21" t="s">
        <v>104</v>
      </c>
      <c r="D22" s="21" t="s">
        <v>36</v>
      </c>
      <c r="E22" s="21" t="s">
        <v>37</v>
      </c>
      <c r="F22" s="21" t="s">
        <v>106</v>
      </c>
      <c r="G22" s="21" t="s">
        <v>107</v>
      </c>
      <c r="H22" s="21">
        <v>20.0</v>
      </c>
      <c r="I22" s="22">
        <v>20.0</v>
      </c>
      <c r="J22" s="22">
        <f t="shared" si="1"/>
        <v>400</v>
      </c>
      <c r="K22" s="21" t="s">
        <v>88</v>
      </c>
      <c r="L22" s="19" t="s">
        <v>12</v>
      </c>
      <c r="M22" s="6"/>
    </row>
    <row r="23">
      <c r="B23" s="24" t="s">
        <v>108</v>
      </c>
      <c r="C23" s="24" t="s">
        <v>104</v>
      </c>
      <c r="D23" s="24" t="s">
        <v>36</v>
      </c>
      <c r="E23" s="24" t="s">
        <v>37</v>
      </c>
      <c r="F23" s="24" t="s">
        <v>110</v>
      </c>
      <c r="G23" s="24" t="s">
        <v>111</v>
      </c>
      <c r="H23" s="24">
        <v>1.0</v>
      </c>
      <c r="I23" s="25">
        <v>500.0</v>
      </c>
      <c r="J23" s="25">
        <f t="shared" si="1"/>
        <v>500</v>
      </c>
      <c r="K23" s="24" t="s">
        <v>88</v>
      </c>
      <c r="L23" s="19" t="s">
        <v>12</v>
      </c>
      <c r="M23" s="6"/>
    </row>
    <row r="24">
      <c r="B24" s="21" t="s">
        <v>112</v>
      </c>
      <c r="C24" s="21" t="s">
        <v>104</v>
      </c>
      <c r="D24" s="21" t="s">
        <v>36</v>
      </c>
      <c r="E24" s="21" t="s">
        <v>37</v>
      </c>
      <c r="F24" s="21" t="s">
        <v>114</v>
      </c>
      <c r="G24" s="21" t="s">
        <v>115</v>
      </c>
      <c r="H24" s="21">
        <v>20.0</v>
      </c>
      <c r="I24" s="22">
        <v>20.0</v>
      </c>
      <c r="J24" s="22">
        <f t="shared" si="1"/>
        <v>400</v>
      </c>
      <c r="K24" s="21" t="s">
        <v>88</v>
      </c>
      <c r="L24" s="19" t="s">
        <v>12</v>
      </c>
      <c r="M24" s="6"/>
    </row>
    <row r="25">
      <c r="B25" s="24" t="s">
        <v>117</v>
      </c>
      <c r="C25" s="24" t="s">
        <v>104</v>
      </c>
      <c r="D25" s="24" t="s">
        <v>36</v>
      </c>
      <c r="E25" s="24" t="s">
        <v>37</v>
      </c>
      <c r="F25" s="24" t="s">
        <v>118</v>
      </c>
      <c r="G25" s="24" t="s">
        <v>119</v>
      </c>
      <c r="H25" s="24">
        <v>3.0</v>
      </c>
      <c r="I25" s="25">
        <v>130.0</v>
      </c>
      <c r="J25" s="25">
        <f t="shared" si="1"/>
        <v>390</v>
      </c>
      <c r="K25" s="24" t="s">
        <v>121</v>
      </c>
      <c r="L25" s="19" t="s">
        <v>12</v>
      </c>
      <c r="M25" s="6"/>
    </row>
    <row r="26">
      <c r="B26" s="21" t="s">
        <v>122</v>
      </c>
      <c r="C26" s="21" t="s">
        <v>104</v>
      </c>
      <c r="D26" s="21" t="s">
        <v>36</v>
      </c>
      <c r="E26" s="21" t="s">
        <v>37</v>
      </c>
      <c r="F26" s="21" t="s">
        <v>123</v>
      </c>
      <c r="G26" s="21" t="s">
        <v>124</v>
      </c>
      <c r="H26" s="21">
        <v>20.0</v>
      </c>
      <c r="I26" s="22">
        <v>15.0</v>
      </c>
      <c r="J26" s="22">
        <f t="shared" si="1"/>
        <v>300</v>
      </c>
      <c r="K26" s="21" t="s">
        <v>88</v>
      </c>
      <c r="L26" s="19" t="s">
        <v>12</v>
      </c>
      <c r="M26" s="6"/>
    </row>
    <row r="27">
      <c r="B27" s="24" t="s">
        <v>127</v>
      </c>
      <c r="C27" s="24" t="s">
        <v>104</v>
      </c>
      <c r="D27" s="24" t="s">
        <v>36</v>
      </c>
      <c r="E27" s="24" t="s">
        <v>37</v>
      </c>
      <c r="F27" s="24" t="s">
        <v>129</v>
      </c>
      <c r="G27" s="24" t="s">
        <v>130</v>
      </c>
      <c r="H27" s="24">
        <v>1.0</v>
      </c>
      <c r="I27" s="25"/>
      <c r="J27" s="25">
        <f t="shared" si="1"/>
        <v>0</v>
      </c>
      <c r="K27" s="26"/>
      <c r="L27" s="19" t="s">
        <v>12</v>
      </c>
      <c r="M27" s="6"/>
    </row>
    <row r="28">
      <c r="B28" s="21" t="s">
        <v>132</v>
      </c>
      <c r="C28" s="21" t="s">
        <v>104</v>
      </c>
      <c r="D28" s="21" t="s">
        <v>36</v>
      </c>
      <c r="E28" s="21" t="s">
        <v>37</v>
      </c>
      <c r="F28" s="21" t="s">
        <v>133</v>
      </c>
      <c r="G28" s="21" t="s">
        <v>134</v>
      </c>
      <c r="H28" s="21">
        <v>1.0</v>
      </c>
      <c r="I28" s="22">
        <v>0.0</v>
      </c>
      <c r="J28" s="22">
        <f t="shared" si="1"/>
        <v>0</v>
      </c>
      <c r="K28" s="21" t="s">
        <v>136</v>
      </c>
      <c r="L28" s="33" t="s">
        <v>14</v>
      </c>
      <c r="M28" s="6"/>
    </row>
    <row r="29">
      <c r="B29" s="24" t="s">
        <v>137</v>
      </c>
      <c r="C29" s="24" t="s">
        <v>104</v>
      </c>
      <c r="D29" s="24" t="s">
        <v>36</v>
      </c>
      <c r="E29" s="24" t="s">
        <v>37</v>
      </c>
      <c r="F29" s="24" t="s">
        <v>140</v>
      </c>
      <c r="G29" s="24" t="s">
        <v>141</v>
      </c>
      <c r="H29" s="24">
        <v>1.0</v>
      </c>
      <c r="I29" s="25">
        <v>500.0</v>
      </c>
      <c r="J29" s="25">
        <f t="shared" si="1"/>
        <v>500</v>
      </c>
      <c r="K29" s="26"/>
      <c r="L29" s="19" t="s">
        <v>12</v>
      </c>
      <c r="M29" s="6"/>
    </row>
    <row r="30">
      <c r="B30" s="21" t="s">
        <v>143</v>
      </c>
      <c r="C30" s="21" t="s">
        <v>104</v>
      </c>
      <c r="D30" s="21" t="s">
        <v>36</v>
      </c>
      <c r="E30" s="21" t="s">
        <v>37</v>
      </c>
      <c r="F30" s="21" t="s">
        <v>144</v>
      </c>
      <c r="G30" s="21" t="s">
        <v>61</v>
      </c>
      <c r="I30" s="32"/>
      <c r="J30" s="22">
        <f t="shared" si="1"/>
        <v>0</v>
      </c>
      <c r="K30" s="23"/>
      <c r="L30" s="19" t="s">
        <v>12</v>
      </c>
      <c r="M30" s="6"/>
    </row>
    <row r="31">
      <c r="B31" s="24" t="s">
        <v>145</v>
      </c>
      <c r="C31" s="24" t="s">
        <v>146</v>
      </c>
      <c r="D31" s="24" t="s">
        <v>36</v>
      </c>
      <c r="E31" s="24" t="s">
        <v>37</v>
      </c>
      <c r="F31" s="24" t="s">
        <v>147</v>
      </c>
      <c r="G31" s="24" t="s">
        <v>61</v>
      </c>
      <c r="H31" s="24"/>
      <c r="I31" s="25">
        <v>300.0</v>
      </c>
      <c r="J31" s="25">
        <f t="shared" si="1"/>
        <v>0</v>
      </c>
      <c r="K31" s="24" t="s">
        <v>88</v>
      </c>
      <c r="L31" s="19" t="s">
        <v>12</v>
      </c>
      <c r="M31" s="6"/>
    </row>
    <row r="32">
      <c r="B32" s="21" t="s">
        <v>149</v>
      </c>
      <c r="C32" s="21" t="s">
        <v>146</v>
      </c>
      <c r="D32" s="21" t="s">
        <v>36</v>
      </c>
      <c r="E32" s="21" t="s">
        <v>37</v>
      </c>
      <c r="F32" s="21" t="s">
        <v>151</v>
      </c>
      <c r="G32" s="21" t="s">
        <v>61</v>
      </c>
      <c r="H32" s="21"/>
      <c r="I32" s="22">
        <v>300.0</v>
      </c>
      <c r="J32" s="22">
        <f t="shared" si="1"/>
        <v>0</v>
      </c>
      <c r="K32" s="21" t="s">
        <v>88</v>
      </c>
      <c r="L32" s="19" t="s">
        <v>12</v>
      </c>
      <c r="M32" s="6"/>
    </row>
    <row r="33">
      <c r="B33" s="24" t="s">
        <v>154</v>
      </c>
      <c r="C33" s="24" t="s">
        <v>155</v>
      </c>
      <c r="D33" s="24" t="s">
        <v>36</v>
      </c>
      <c r="E33" s="24" t="s">
        <v>37</v>
      </c>
      <c r="F33" s="24" t="s">
        <v>156</v>
      </c>
      <c r="G33" s="24" t="s">
        <v>157</v>
      </c>
      <c r="H33" s="24">
        <v>2.0</v>
      </c>
      <c r="I33" s="24">
        <v>600.0</v>
      </c>
      <c r="J33" s="25">
        <f t="shared" si="1"/>
        <v>1200</v>
      </c>
      <c r="K33" s="26"/>
      <c r="L33" s="19" t="s">
        <v>12</v>
      </c>
      <c r="M33" s="6"/>
    </row>
    <row r="34">
      <c r="B34" s="21" t="s">
        <v>160</v>
      </c>
      <c r="C34" s="21" t="s">
        <v>155</v>
      </c>
      <c r="D34" s="21" t="s">
        <v>36</v>
      </c>
      <c r="E34" s="21" t="s">
        <v>37</v>
      </c>
      <c r="F34" s="21" t="s">
        <v>161</v>
      </c>
      <c r="G34" s="21" t="s">
        <v>162</v>
      </c>
      <c r="H34" s="21">
        <v>10.0</v>
      </c>
      <c r="I34" s="21">
        <v>600.0</v>
      </c>
      <c r="J34" s="22">
        <f t="shared" si="1"/>
        <v>6000</v>
      </c>
      <c r="K34" s="23"/>
      <c r="L34" s="19" t="s">
        <v>12</v>
      </c>
      <c r="M34" s="6"/>
    </row>
    <row r="35">
      <c r="B35" s="24" t="s">
        <v>165</v>
      </c>
      <c r="C35" s="24" t="s">
        <v>64</v>
      </c>
      <c r="D35" s="24" t="s">
        <v>36</v>
      </c>
      <c r="E35" s="24" t="s">
        <v>37</v>
      </c>
      <c r="F35" s="25" t="s">
        <v>167</v>
      </c>
      <c r="G35" s="25" t="s">
        <v>61</v>
      </c>
      <c r="H35" s="25">
        <v>1.0</v>
      </c>
      <c r="I35" s="31"/>
      <c r="J35" s="24">
        <v>7000.0</v>
      </c>
      <c r="K35" s="24" t="s">
        <v>136</v>
      </c>
      <c r="L35" s="33" t="s">
        <v>14</v>
      </c>
    </row>
    <row r="36">
      <c r="B36" s="21"/>
      <c r="C36" s="21"/>
      <c r="D36" s="21"/>
      <c r="E36" s="21"/>
      <c r="F36" s="22"/>
      <c r="G36" s="22"/>
      <c r="H36" s="34"/>
      <c r="I36" s="32"/>
      <c r="J36" s="32"/>
      <c r="K36" s="32"/>
    </row>
    <row r="37">
      <c r="B37" s="24"/>
      <c r="C37" s="24"/>
      <c r="D37" s="24"/>
      <c r="E37" s="24"/>
      <c r="F37" s="25"/>
      <c r="G37" s="25"/>
      <c r="H37" s="35"/>
      <c r="I37" s="31"/>
      <c r="J37" s="31"/>
      <c r="K37" s="31"/>
    </row>
    <row r="38">
      <c r="B38" s="21"/>
      <c r="C38" s="21"/>
      <c r="D38" s="21"/>
      <c r="E38" s="21"/>
      <c r="F38" s="22"/>
      <c r="G38" s="22"/>
      <c r="H38" s="34"/>
      <c r="I38" s="32"/>
      <c r="J38" s="32"/>
      <c r="K38" s="32"/>
    </row>
    <row r="39">
      <c r="B39" s="24"/>
      <c r="C39" s="24"/>
      <c r="D39" s="24"/>
      <c r="E39" s="24"/>
      <c r="F39" s="25"/>
      <c r="G39" s="25"/>
      <c r="H39" s="35"/>
      <c r="I39" s="31"/>
      <c r="J39" s="31"/>
      <c r="K39" s="31"/>
    </row>
    <row r="40">
      <c r="B40" s="18"/>
      <c r="C40" s="18"/>
      <c r="D40" s="6"/>
    </row>
    <row r="41">
      <c r="B41" s="18"/>
      <c r="C41" s="18"/>
      <c r="D41" s="6"/>
    </row>
    <row r="42">
      <c r="B42" s="18"/>
      <c r="C42" s="18"/>
      <c r="D42" s="6"/>
    </row>
    <row r="43">
      <c r="B43" s="18"/>
      <c r="C43" s="18"/>
      <c r="D43" s="6"/>
    </row>
    <row r="44">
      <c r="B44" s="18"/>
      <c r="C44" s="18"/>
      <c r="D44" s="6"/>
    </row>
    <row r="45">
      <c r="B45" s="18"/>
      <c r="C45" s="18"/>
      <c r="D45" s="6"/>
    </row>
    <row r="46">
      <c r="B46" s="18"/>
      <c r="C46" s="18"/>
      <c r="D46" s="6"/>
    </row>
    <row r="47">
      <c r="B47" s="18"/>
      <c r="C47" s="18"/>
      <c r="D47" s="6"/>
    </row>
    <row r="48">
      <c r="B48" s="18"/>
      <c r="C48" s="18"/>
      <c r="D48" s="6"/>
    </row>
    <row r="49">
      <c r="B49" s="18"/>
      <c r="C49" s="18"/>
      <c r="D49" s="6"/>
    </row>
    <row r="50">
      <c r="B50" s="18"/>
      <c r="C50" s="18"/>
      <c r="D50" s="6"/>
    </row>
    <row r="51">
      <c r="B51" s="18"/>
      <c r="C51" s="18"/>
      <c r="D51" s="6"/>
    </row>
    <row r="52">
      <c r="B52" s="18"/>
      <c r="C52" s="18"/>
      <c r="D52" s="6"/>
    </row>
    <row r="53">
      <c r="B53" s="18"/>
      <c r="C53" s="18"/>
      <c r="D53" s="6"/>
    </row>
    <row r="54">
      <c r="B54" s="18"/>
      <c r="C54" s="18"/>
      <c r="D54" s="6"/>
    </row>
    <row r="55">
      <c r="B55" s="18"/>
      <c r="C55" s="18"/>
      <c r="D55" s="6"/>
    </row>
    <row r="56">
      <c r="B56" s="18"/>
      <c r="C56" s="18"/>
      <c r="D56" s="6"/>
    </row>
    <row r="57">
      <c r="B57" s="18"/>
      <c r="C57" s="18"/>
      <c r="D57" s="6"/>
    </row>
    <row r="58">
      <c r="B58" s="18"/>
      <c r="C58" s="18"/>
      <c r="D58" s="6"/>
    </row>
    <row r="59">
      <c r="B59" s="18"/>
      <c r="C59" s="18"/>
      <c r="D59" s="6"/>
    </row>
    <row r="60">
      <c r="B60" s="18"/>
      <c r="C60" s="18"/>
      <c r="D60" s="6"/>
    </row>
    <row r="61">
      <c r="B61" s="18"/>
      <c r="C61" s="18"/>
      <c r="D61" s="6"/>
    </row>
    <row r="62">
      <c r="B62" s="18"/>
      <c r="C62" s="18"/>
      <c r="D62" s="6"/>
    </row>
    <row r="63">
      <c r="B63" s="18"/>
      <c r="C63" s="18"/>
      <c r="D63" s="6"/>
    </row>
    <row r="64">
      <c r="B64" s="18"/>
      <c r="C64" s="18"/>
      <c r="D64" s="6"/>
    </row>
    <row r="65">
      <c r="B65" s="18"/>
      <c r="C65" s="18"/>
      <c r="D65" s="6"/>
    </row>
    <row r="66">
      <c r="B66" s="18"/>
      <c r="C66" s="18"/>
      <c r="D66" s="6"/>
    </row>
    <row r="67">
      <c r="B67" s="18"/>
      <c r="C67" s="18"/>
      <c r="D67" s="6"/>
    </row>
    <row r="68">
      <c r="B68" s="18"/>
      <c r="C68" s="18"/>
      <c r="D68" s="6"/>
    </row>
    <row r="69">
      <c r="B69" s="18"/>
      <c r="C69" s="18"/>
      <c r="D69" s="6"/>
    </row>
    <row r="70">
      <c r="B70" s="18"/>
      <c r="C70" s="18"/>
      <c r="D70" s="6"/>
    </row>
    <row r="71">
      <c r="B71" s="18"/>
      <c r="C71" s="18"/>
      <c r="D71" s="6"/>
    </row>
    <row r="72">
      <c r="B72" s="18"/>
      <c r="C72" s="18"/>
      <c r="D72" s="6"/>
    </row>
    <row r="73">
      <c r="B73" s="18"/>
      <c r="C73" s="18"/>
      <c r="D73" s="6"/>
    </row>
    <row r="74">
      <c r="B74" s="18"/>
      <c r="C74" s="18"/>
      <c r="D74" s="6"/>
    </row>
    <row r="75">
      <c r="B75" s="18"/>
      <c r="C75" s="18"/>
      <c r="D75" s="6"/>
    </row>
    <row r="76">
      <c r="B76" s="18"/>
      <c r="C76" s="18"/>
      <c r="D76" s="6"/>
    </row>
    <row r="77">
      <c r="B77" s="18"/>
      <c r="C77" s="18"/>
      <c r="D77" s="6"/>
    </row>
    <row r="78">
      <c r="B78" s="18"/>
      <c r="C78" s="18"/>
      <c r="D78" s="6"/>
    </row>
    <row r="79">
      <c r="B79" s="18"/>
      <c r="C79" s="18"/>
      <c r="D79" s="6"/>
    </row>
    <row r="80">
      <c r="B80" s="18"/>
      <c r="C80" s="18"/>
      <c r="D80" s="6"/>
    </row>
    <row r="81">
      <c r="B81" s="18"/>
      <c r="C81" s="18"/>
      <c r="D81" s="6"/>
    </row>
    <row r="82">
      <c r="B82" s="18"/>
      <c r="C82" s="18"/>
      <c r="D82" s="6"/>
    </row>
    <row r="83">
      <c r="B83" s="18"/>
      <c r="C83" s="18"/>
      <c r="D83" s="6"/>
    </row>
    <row r="84">
      <c r="B84" s="18"/>
      <c r="C84" s="18"/>
      <c r="D84" s="6"/>
    </row>
    <row r="85">
      <c r="B85" s="18"/>
      <c r="C85" s="18"/>
      <c r="D85" s="6"/>
    </row>
    <row r="86">
      <c r="B86" s="18"/>
      <c r="C86" s="18"/>
      <c r="D86" s="6"/>
    </row>
    <row r="87">
      <c r="B87" s="18"/>
      <c r="C87" s="18"/>
      <c r="D87" s="6"/>
    </row>
    <row r="88">
      <c r="B88" s="18"/>
      <c r="C88" s="18"/>
      <c r="D88" s="6"/>
    </row>
    <row r="89">
      <c r="B89" s="18"/>
      <c r="C89" s="18"/>
      <c r="D89" s="6"/>
    </row>
    <row r="90">
      <c r="B90" s="18"/>
      <c r="C90" s="18"/>
      <c r="D90" s="6"/>
    </row>
    <row r="91">
      <c r="B91" s="18"/>
      <c r="C91" s="18"/>
      <c r="D91" s="6"/>
    </row>
    <row r="92">
      <c r="B92" s="18"/>
      <c r="C92" s="18"/>
      <c r="D92" s="6"/>
    </row>
    <row r="93">
      <c r="B93" s="18"/>
      <c r="C93" s="18"/>
      <c r="D93" s="6"/>
    </row>
    <row r="94">
      <c r="B94" s="18"/>
      <c r="C94" s="18"/>
      <c r="D94" s="6"/>
    </row>
    <row r="95">
      <c r="B95" s="18"/>
      <c r="C95" s="18"/>
      <c r="D95" s="6"/>
    </row>
    <row r="96">
      <c r="B96" s="18"/>
      <c r="C96" s="18"/>
      <c r="D96" s="6"/>
    </row>
    <row r="97">
      <c r="B97" s="18"/>
      <c r="C97" s="18"/>
      <c r="D97" s="6"/>
    </row>
    <row r="98">
      <c r="B98" s="18"/>
      <c r="C98" s="18"/>
      <c r="D98" s="6"/>
    </row>
    <row r="99">
      <c r="B99" s="18"/>
      <c r="C99" s="18"/>
    </row>
    <row r="100">
      <c r="B100" s="18"/>
      <c r="C100" s="18"/>
    </row>
    <row r="101">
      <c r="B101" s="18"/>
      <c r="C101" s="18"/>
    </row>
    <row r="102">
      <c r="B102" s="18"/>
      <c r="C102" s="18"/>
    </row>
  </sheetData>
  <autoFilter ref="$B$7:$H$39"/>
  <dataValidations>
    <dataValidation type="list" allowBlank="1" sqref="D8:D35 B36:B102">
      <formula1>"Theo giường,Dùng chung"</formula1>
    </dataValidation>
    <dataValidation type="list" allowBlank="1" sqref="E8:E35 C36:C102">
      <formula1>"Mua 1 lần,Thường xuyên"</formula1>
    </dataValidation>
    <dataValidation type="list" allowBlank="1" sqref="L8:L35">
      <formula1>"Chưa mua,Đang đặt hàng,Đã nhận"</formula1>
    </dataValidation>
  </dataValidations>
  <drawing r:id="rId1"/>
</worksheet>
</file>